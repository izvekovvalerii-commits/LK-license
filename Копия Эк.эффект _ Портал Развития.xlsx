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valeriy.izvekov/Documents/Чижик_Портал ИК/"/>
    </mc:Choice>
  </mc:AlternateContent>
  <xr:revisionPtr revIDLastSave="0" documentId="8_{4DE3ADA7-2289-3F4E-BB3E-01A983A32769}" xr6:coauthVersionLast="47" xr6:coauthVersionMax="47" xr10:uidLastSave="{00000000-0000-0000-0000-000000000000}"/>
  <bookViews>
    <workbookView xWindow="0" yWindow="760" windowWidth="19420" windowHeight="103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D20" i="1" l="1"/>
  <c r="D19" i="1"/>
  <c r="D18" i="1"/>
  <c r="G2" i="1"/>
  <c r="H2" i="1" s="1"/>
  <c r="G1" i="1"/>
  <c r="C4" i="1" l="1"/>
  <c r="C5" i="1"/>
  <c r="C6" i="1" l="1"/>
  <c r="C7" i="1" s="1"/>
</calcChain>
</file>

<file path=xl/sharedStrings.xml><?xml version="1.0" encoding="utf-8"?>
<sst xmlns="http://schemas.openxmlformats.org/spreadsheetml/2006/main" count="35" uniqueCount="30">
  <si>
    <t>шт</t>
  </si>
  <si>
    <t>мин</t>
  </si>
  <si>
    <t>руб</t>
  </si>
  <si>
    <t>Итого экономия в месяц</t>
  </si>
  <si>
    <t>час</t>
  </si>
  <si>
    <t>Потрачено времени всего</t>
  </si>
  <si>
    <t>Усредненный ФОТ пользователей в час</t>
  </si>
  <si>
    <t>среднее количество проработанных проектов при плане 900, мес</t>
  </si>
  <si>
    <t xml:space="preserve">Экономия мин на один проект (5 мин на каждый этап) </t>
  </si>
  <si>
    <t>экономия за счет сокращения ручного поиска писем/документов в почте</t>
  </si>
  <si>
    <t>при окладе 120 тр</t>
  </si>
  <si>
    <t>Открыто 2024</t>
  </si>
  <si>
    <t>Проработанно 2024</t>
  </si>
  <si>
    <t xml:space="preserve">Итого экономия в год </t>
  </si>
  <si>
    <t>10 этапов</t>
  </si>
  <si>
    <t>Экономия при внедрении</t>
  </si>
  <si>
    <t>дн</t>
  </si>
  <si>
    <t>сРТО на 1 магазин в 1 день, 3 кв</t>
  </si>
  <si>
    <t>экономия при открытии 1 магазина</t>
  </si>
  <si>
    <t>всего процесс согласования докуметнов по ЦГ (10 этапов)</t>
  </si>
  <si>
    <t>кол-во магазинов</t>
  </si>
  <si>
    <t>1е полугодие 2027г</t>
  </si>
  <si>
    <t>2е полугодие 2027г</t>
  </si>
  <si>
    <t>Эффект, руб</t>
  </si>
  <si>
    <t>4 кв 2026г</t>
  </si>
  <si>
    <t>% магазинов в системе</t>
  </si>
  <si>
    <t>Расчет экономии на 1 магазин, за счет сокращения срока открытия</t>
  </si>
  <si>
    <t>Расчет поэтапного эффекта (переходный период при внедрении портала)</t>
  </si>
  <si>
    <t>Расчет экономии на 1 магазин, за счет оптимизации трудозатрат пользователя</t>
  </si>
  <si>
    <t>?? Подумать и пересчитать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</si>
</sst>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_-* #,##0\ _₽_-;\-* #,##0\ _₽_-;_-* &quot;-&quot;??\ _₽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wrapText="1"/>
    </xf>
    <xf numFmtId="164" fontId="0" fillId="0" borderId="0" xfId="1" applyFont="1" applyAlignment="1">
      <alignment horizontal="center"/>
    </xf>
    <xf numFmtId="0" fontId="0" fillId="2" borderId="1" xfId="0" applyFill="1" applyBorder="1" applyAlignment="1">
      <alignment wrapText="1"/>
    </xf>
    <xf numFmtId="164" fontId="0" fillId="0" borderId="0" xfId="0" applyNumberFormat="1"/>
    <xf numFmtId="165" fontId="0" fillId="0" borderId="1" xfId="1" applyNumberFormat="1" applyFont="1" applyBorder="1" applyAlignment="1">
      <alignment vertical="center" wrapText="1"/>
    </xf>
    <xf numFmtId="165" fontId="0" fillId="0" borderId="1" xfId="1" applyNumberFormat="1" applyFont="1" applyBorder="1" applyAlignment="1">
      <alignment vertical="center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165" fontId="0" fillId="0" borderId="0" xfId="1" applyNumberFormat="1" applyFont="1" applyBorder="1" applyAlignment="1">
      <alignment vertical="center" wrapText="1"/>
    </xf>
    <xf numFmtId="165" fontId="0" fillId="0" borderId="0" xfId="1" applyNumberFormat="1" applyFont="1" applyBorder="1" applyAlignment="1">
      <alignment vertical="center"/>
    </xf>
    <xf numFmtId="0" fontId="0" fillId="0" borderId="1" xfId="0" applyBorder="1"/>
    <xf numFmtId="165" fontId="0" fillId="0" borderId="1" xfId="1" applyNumberFormat="1" applyFont="1" applyBorder="1" applyAlignment="1">
      <alignment horizontal="center"/>
    </xf>
    <xf numFmtId="164" fontId="0" fillId="0" borderId="1" xfId="1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0" fontId="0" fillId="4" borderId="0" xfId="0" applyFill="1"/>
    <xf numFmtId="164" fontId="0" fillId="4" borderId="0" xfId="1" applyFont="1" applyFill="1" applyAlignment="1">
      <alignment horizontal="center"/>
    </xf>
    <xf numFmtId="0" fontId="2" fillId="4" borderId="0" xfId="0" applyFont="1" applyFill="1"/>
    <xf numFmtId="164" fontId="2" fillId="4" borderId="0" xfId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1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164" fontId="0" fillId="5" borderId="0" xfId="1" applyFont="1" applyFill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85" zoomScaleNormal="85" workbookViewId="0">
      <selection activeCell="E12" sqref="E12"/>
    </sheetView>
  </sheetViews>
  <sheetFormatPr baseColWidth="10" defaultColWidth="8.83203125" defaultRowHeight="15" x14ac:dyDescent="0.2"/>
  <cols>
    <col min="1" max="1" width="52.83203125" customWidth="1"/>
    <col min="3" max="3" width="16.1640625" style="2" customWidth="1"/>
    <col min="4" max="4" width="15.6640625" style="2" customWidth="1"/>
    <col min="5" max="5" width="18.33203125" bestFit="1" customWidth="1"/>
    <col min="6" max="6" width="11.6640625" customWidth="1"/>
    <col min="7" max="8" width="12" customWidth="1"/>
  </cols>
  <sheetData>
    <row r="1" spans="1:11" x14ac:dyDescent="0.2">
      <c r="A1" s="17" t="s">
        <v>28</v>
      </c>
      <c r="B1" s="15"/>
      <c r="C1" s="16"/>
      <c r="E1" s="11" t="s">
        <v>11</v>
      </c>
      <c r="F1" s="11">
        <v>850</v>
      </c>
      <c r="G1" s="14">
        <f>900/850-1</f>
        <v>5.8823529411764719E-2</v>
      </c>
      <c r="H1" s="11"/>
    </row>
    <row r="2" spans="1:11" ht="33" customHeight="1" x14ac:dyDescent="0.2">
      <c r="A2" s="8" t="s">
        <v>7</v>
      </c>
      <c r="B2" s="1" t="s">
        <v>0</v>
      </c>
      <c r="C2" s="5">
        <v>236</v>
      </c>
      <c r="D2" s="9"/>
      <c r="E2" s="11" t="s">
        <v>12</v>
      </c>
      <c r="F2" s="11">
        <v>2668</v>
      </c>
      <c r="G2" s="13">
        <f>F2*1.06</f>
        <v>2828.08</v>
      </c>
      <c r="H2" s="21">
        <f>G2/12</f>
        <v>235.67333333333332</v>
      </c>
      <c r="I2" s="7"/>
      <c r="J2" s="7"/>
      <c r="K2" s="7"/>
    </row>
    <row r="3" spans="1:11" ht="16" x14ac:dyDescent="0.2">
      <c r="A3" s="1" t="s">
        <v>8</v>
      </c>
      <c r="B3" s="1" t="s">
        <v>1</v>
      </c>
      <c r="C3" s="5">
        <v>60</v>
      </c>
      <c r="D3" s="9"/>
      <c r="E3" t="s">
        <v>14</v>
      </c>
      <c r="F3" t="s">
        <v>9</v>
      </c>
    </row>
    <row r="4" spans="1:11" ht="16" x14ac:dyDescent="0.2">
      <c r="A4" s="1" t="s">
        <v>5</v>
      </c>
      <c r="B4" s="1" t="s">
        <v>4</v>
      </c>
      <c r="C4" s="5">
        <f>C2*C3/60</f>
        <v>236</v>
      </c>
      <c r="D4" s="9"/>
    </row>
    <row r="5" spans="1:11" ht="16" x14ac:dyDescent="0.2">
      <c r="A5" s="1" t="s">
        <v>6</v>
      </c>
      <c r="B5" s="1" t="s">
        <v>2</v>
      </c>
      <c r="C5" s="5">
        <f>120000/20/8</f>
        <v>750</v>
      </c>
      <c r="D5" s="9"/>
      <c r="E5" t="s">
        <v>10</v>
      </c>
    </row>
    <row r="6" spans="1:11" ht="16" x14ac:dyDescent="0.2">
      <c r="A6" s="3" t="s">
        <v>3</v>
      </c>
      <c r="B6" s="3" t="s">
        <v>2</v>
      </c>
      <c r="C6" s="6">
        <f>C5*C4</f>
        <v>177000</v>
      </c>
      <c r="D6" s="10"/>
    </row>
    <row r="7" spans="1:11" ht="16" x14ac:dyDescent="0.2">
      <c r="A7" s="3" t="s">
        <v>13</v>
      </c>
      <c r="B7" s="3" t="s">
        <v>2</v>
      </c>
      <c r="C7" s="6">
        <f>C6*12</f>
        <v>2124000</v>
      </c>
      <c r="D7" s="10"/>
      <c r="E7" s="4"/>
    </row>
    <row r="10" spans="1:11" x14ac:dyDescent="0.2">
      <c r="A10" s="17" t="s">
        <v>26</v>
      </c>
      <c r="B10" s="17"/>
      <c r="C10" s="18"/>
    </row>
    <row r="11" spans="1:11" x14ac:dyDescent="0.2">
      <c r="A11" s="11" t="s">
        <v>19</v>
      </c>
      <c r="B11" s="11" t="s">
        <v>16</v>
      </c>
      <c r="C11" s="22">
        <v>14</v>
      </c>
    </row>
    <row r="12" spans="1:11" x14ac:dyDescent="0.2">
      <c r="A12" s="11" t="s">
        <v>15</v>
      </c>
      <c r="B12" s="11" t="s">
        <v>16</v>
      </c>
      <c r="C12" s="22">
        <v>2</v>
      </c>
      <c r="D12" s="23" t="s">
        <v>29</v>
      </c>
    </row>
    <row r="13" spans="1:11" x14ac:dyDescent="0.2">
      <c r="A13" s="11" t="s">
        <v>17</v>
      </c>
      <c r="B13" s="11" t="s">
        <v>2</v>
      </c>
      <c r="C13" s="12">
        <v>462800</v>
      </c>
    </row>
    <row r="14" spans="1:11" x14ac:dyDescent="0.2">
      <c r="A14" s="11" t="s">
        <v>18</v>
      </c>
      <c r="B14" s="11" t="s">
        <v>2</v>
      </c>
      <c r="C14" s="12">
        <f>C13*C12</f>
        <v>925600</v>
      </c>
    </row>
    <row r="15" spans="1:11" x14ac:dyDescent="0.2">
      <c r="A15" s="2"/>
      <c r="B15" s="2"/>
    </row>
    <row r="17" spans="1:4" ht="30" x14ac:dyDescent="0.2">
      <c r="A17" s="19" t="s">
        <v>27</v>
      </c>
      <c r="B17" s="19" t="s">
        <v>20</v>
      </c>
      <c r="C17" s="20" t="s">
        <v>25</v>
      </c>
      <c r="D17" s="20" t="s">
        <v>23</v>
      </c>
    </row>
    <row r="18" spans="1:4" x14ac:dyDescent="0.2">
      <c r="A18" s="11" t="s">
        <v>24</v>
      </c>
      <c r="B18" s="11">
        <v>300</v>
      </c>
      <c r="C18" s="14">
        <v>0.15</v>
      </c>
      <c r="D18" s="12">
        <f>(B18*C18)*$C$14</f>
        <v>41652000</v>
      </c>
    </row>
    <row r="19" spans="1:4" x14ac:dyDescent="0.2">
      <c r="A19" s="11" t="s">
        <v>21</v>
      </c>
      <c r="B19" s="11">
        <v>360</v>
      </c>
      <c r="C19" s="14">
        <v>0.65</v>
      </c>
      <c r="D19" s="12">
        <f>(B19*C19)*$C$14</f>
        <v>216590400</v>
      </c>
    </row>
    <row r="20" spans="1:4" x14ac:dyDescent="0.2">
      <c r="A20" s="11" t="s">
        <v>22</v>
      </c>
      <c r="B20" s="11">
        <v>540</v>
      </c>
      <c r="C20" s="14">
        <v>1</v>
      </c>
      <c r="D20" s="12">
        <f>(B20*C20)*$C$14</f>
        <v>499824000</v>
      </c>
    </row>
  </sheetData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X5 RETAIL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X5</dc:creator>
  <cp:lastModifiedBy>Valeriy.Izvekov</cp:lastModifiedBy>
  <dcterms:created xsi:type="dcterms:W3CDTF">2020-07-27T16:36:52Z</dcterms:created>
  <dcterms:modified xsi:type="dcterms:W3CDTF">2025-10-22T08:44:59Z</dcterms:modified>
</cp:coreProperties>
</file>