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y.izvekov/Documents/Чижик_Портал ИК/"/>
    </mc:Choice>
  </mc:AlternateContent>
  <xr:revisionPtr revIDLastSave="0" documentId="13_ncr:1_{2467BDF4-37FB-D04F-83A4-AFD976868B80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Отче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 l="1"/>
  <c r="C6" i="1" s="1"/>
  <c r="E13" i="1"/>
  <c r="E14" i="1" s="1"/>
</calcChain>
</file>

<file path=xl/sharedStrings.xml><?xml version="1.0" encoding="utf-8"?>
<sst xmlns="http://schemas.openxmlformats.org/spreadsheetml/2006/main" count="21" uniqueCount="21">
  <si>
    <t>(3673) Портал ИК для типовых проектов Чижика</t>
  </si>
  <si>
    <t>тыс рублей без НДС</t>
  </si>
  <si>
    <t>Итого ФОТ</t>
  </si>
  <si>
    <t>ИТОГО</t>
  </si>
  <si>
    <t>дек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</si>
  <si>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</si>
  <si>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</si>
  <si>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</si>
  <si>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</si>
  <si>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</si>
  <si>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</si>
  <si>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</si>
  <si>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</si>
  <si>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</si>
  <si>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</si>
  <si>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</si>
  <si>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/>
  </si>
  <si>
    <t>CAPEX</t>
  </si>
  <si>
    <t>Консультационные услуги ИТ</t>
  </si>
  <si>
    <t>Аут</t>
  </si>
  <si>
    <t>Инфраструктура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</si>
</sst>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0"/>
  </numFmts>
  <fonts count="10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4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52.6640625" customWidth="1"/>
    <col min="2" max="14" width="12.1640625" customWidth="1"/>
  </cols>
  <sheetData>
    <row r="2" spans="1:15" x14ac:dyDescent="0.2">
      <c r="A2" s="1" t="s">
        <v>0</v>
      </c>
    </row>
    <row r="4" spans="1:15" ht="15" customHeight="1" x14ac:dyDescent="0.2">
      <c r="A4" s="2" t="s">
        <v>1</v>
      </c>
    </row>
    <row r="5" spans="1:15" ht="30" customHeight="1" x14ac:dyDescent="0.2">
      <c r="A5" s="3" t="s">
        <v>2</v>
      </c>
      <c r="B5" s="4" t="s">
        <v>3</v>
      </c>
      <c r="C5" s="4">
        <v>2026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4</v>
      </c>
    </row>
    <row r="6" spans="1:15" ht="30" customHeight="1" x14ac:dyDescent="0.2">
      <c r="A6" s="6" t="s">
        <v>16</v>
      </c>
      <c r="B6" s="7">
        <v>4330.76</v>
      </c>
      <c r="C6" s="7">
        <f>SUM(C7:C9)</f>
        <v>11947.74</v>
      </c>
      <c r="D6" s="8">
        <v>415</v>
      </c>
      <c r="E6" s="8">
        <v>452.08</v>
      </c>
      <c r="F6" s="8">
        <v>923.94</v>
      </c>
      <c r="G6" s="8">
        <v>687.38</v>
      </c>
      <c r="H6" s="8">
        <v>418.56</v>
      </c>
      <c r="I6" s="8">
        <v>221.12</v>
      </c>
      <c r="J6" s="8">
        <v>221.12</v>
      </c>
      <c r="K6" s="8">
        <v>221.12</v>
      </c>
      <c r="L6" s="8">
        <v>221.12</v>
      </c>
      <c r="M6" s="8">
        <v>221.12</v>
      </c>
      <c r="N6" s="8">
        <v>164.1</v>
      </c>
      <c r="O6" s="8">
        <v>164.1</v>
      </c>
    </row>
    <row r="7" spans="1:15" ht="30" customHeight="1" x14ac:dyDescent="0.2">
      <c r="A7" s="6" t="s">
        <v>17</v>
      </c>
      <c r="B7" s="7">
        <v>4330.76</v>
      </c>
      <c r="C7" s="7">
        <f>SUM(D7:O7)</f>
        <v>4787.74</v>
      </c>
      <c r="D7" s="12">
        <v>451.36</v>
      </c>
      <c r="E7" s="12">
        <v>488.44</v>
      </c>
      <c r="F7" s="12">
        <v>960.30000000000007</v>
      </c>
      <c r="G7" s="12">
        <v>723.74</v>
      </c>
      <c r="H7" s="12">
        <v>454.92</v>
      </c>
      <c r="I7" s="12">
        <v>257.48</v>
      </c>
      <c r="J7" s="12">
        <v>257.48</v>
      </c>
      <c r="K7" s="12">
        <v>257.48</v>
      </c>
      <c r="L7" s="12">
        <v>257.48</v>
      </c>
      <c r="M7" s="12">
        <v>257.48</v>
      </c>
      <c r="N7" s="12">
        <v>257.48</v>
      </c>
      <c r="O7" s="12">
        <v>164.1</v>
      </c>
    </row>
    <row r="8" spans="1:15" ht="30" customHeight="1" x14ac:dyDescent="0.2">
      <c r="A8" s="6" t="s">
        <v>18</v>
      </c>
      <c r="B8" s="7">
        <v>0</v>
      </c>
      <c r="C8" s="7">
        <f>SUM(D8:N8)</f>
        <v>6160</v>
      </c>
      <c r="D8" s="8">
        <v>560</v>
      </c>
      <c r="E8" s="8">
        <v>560</v>
      </c>
      <c r="F8" s="8">
        <v>560</v>
      </c>
      <c r="G8" s="8">
        <v>560</v>
      </c>
      <c r="H8" s="8">
        <v>560</v>
      </c>
      <c r="I8" s="8">
        <v>560</v>
      </c>
      <c r="J8" s="8">
        <v>560</v>
      </c>
      <c r="K8" s="8">
        <v>560</v>
      </c>
      <c r="L8" s="8">
        <v>560</v>
      </c>
      <c r="M8" s="8">
        <v>560</v>
      </c>
      <c r="N8" s="8">
        <v>560</v>
      </c>
      <c r="O8" s="8">
        <v>0</v>
      </c>
    </row>
    <row r="9" spans="1:15" ht="30" customHeight="1" x14ac:dyDescent="0.2">
      <c r="A9" s="11" t="s">
        <v>20</v>
      </c>
      <c r="B9" s="9"/>
      <c r="C9" s="9">
        <v>1000</v>
      </c>
      <c r="D9" s="10">
        <v>1000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3" spans="1:15" x14ac:dyDescent="0.2">
      <c r="D13" t="s">
        <v>19</v>
      </c>
      <c r="E13">
        <f>176*35000</f>
        <v>6160000</v>
      </c>
    </row>
    <row r="14" spans="1:15" x14ac:dyDescent="0.2">
      <c r="E14">
        <f>E13/11</f>
        <v>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Valeriy.Izvekov</cp:lastModifiedBy>
  <dcterms:created xsi:type="dcterms:W3CDTF">2025-12-10T15:48:04Z</dcterms:created>
  <dcterms:modified xsi:type="dcterms:W3CDTF">2025-12-10T16:20:53Z</dcterms:modified>
</cp:coreProperties>
</file>